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indings" sheetId="2" state="visible" r:id="rId4"/>
    <sheet name="App check" sheetId="3" state="visible" r:id="rId5"/>
    <sheet name="Search test" sheetId="4" state="visible" r:id="rId6"/>
  </sheets>
  <definedNames>
    <definedName function="false" hidden="true" localSheetId="2" name="_xlnm._FilterDatabase" vbProcedure="false">'App check'!$A$1:$C$8</definedName>
    <definedName function="false" hidden="true" localSheetId="1" name="_xlnm._FilterDatabase" vbProcedure="false">Findings!$A$1:$I$19</definedName>
    <definedName function="false" hidden="true" localSheetId="3" name="_xlnm._FilterDatabase" vbProcedure="false">'Search test'!$A$1:$D$5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<sst xmlns="http://schemas.openxmlformats.org/spreadsheetml/2006/main" count="200" uniqueCount="115">
  <si>
    <t xml:space="preserve">Roohvi EDU + SAF review — summary</t>
  </si>
  <si>
    <t xml:space="preserve">Reviewed 4 Oct 2026 against the Team Guide checklist.</t>
  </si>
  <si>
    <t xml:space="preserve">Open findings by severity</t>
  </si>
  <si>
    <t xml:space="preserve">High</t>
  </si>
  <si>
    <t xml:space="preserve">Medium</t>
  </si>
  <si>
    <t xml:space="preserve">Low</t>
  </si>
  <si>
    <t xml:space="preserve">Open items total</t>
  </si>
  <si>
    <t xml:space="preserve">Verdict: no diagnosis, dose or method in any entry. Blockers are review sign-off, source checks, and Roman Urdu versions of EDU.</t>
  </si>
  <si>
    <t xml:space="preserve">#</t>
  </si>
  <si>
    <t xml:space="preserve">Entries</t>
  </si>
  <si>
    <t xml:space="preserve">Writer</t>
  </si>
  <si>
    <t xml:space="preserve">Area</t>
  </si>
  <si>
    <t xml:space="preserve">Finding</t>
  </si>
  <si>
    <t xml:space="preserve">Severity</t>
  </si>
  <si>
    <t xml:space="preserve">Action needed</t>
  </si>
  <si>
    <t xml:space="preserve">Owner</t>
  </si>
  <si>
    <t xml:space="preserve">Status</t>
  </si>
  <si>
    <t xml:space="preserve">EDU-01..10</t>
  </si>
  <si>
    <t xml:space="preserve">Bibi Hani</t>
  </si>
  <si>
    <t xml:space="preserve">Content</t>
  </si>
  <si>
    <t xml:space="preserve">No diagnosis, dose or method found. Source, date, 'kab madad lein' present on every entry.</t>
  </si>
  <si>
    <t xml:space="preserve">OK</t>
  </si>
  <si>
    <t xml:space="preserve">None</t>
  </si>
  <si>
    <t xml:space="preserve">—</t>
  </si>
  <si>
    <t xml:space="preserve">Done</t>
  </si>
  <si>
    <t xml:space="preserve">Length</t>
  </si>
  <si>
    <t xml:space="preserve">Explanations are 86–115 words; guide asks 150–300 (shortest: EDU-02).</t>
  </si>
  <si>
    <t xml:space="preserve">Expand: what people feel, 'yeh aam hai' reassurance, what can help</t>
  </si>
  <si>
    <t xml:space="preserve">Open</t>
  </si>
  <si>
    <t xml:space="preserve">Language</t>
  </si>
  <si>
    <t xml:space="preserve">English only; app users write Roman Urdu. Search misses EDU entries (e.g. 'neend nahi aati' -&gt; PRO-01, not EDU-04).</t>
  </si>
  <si>
    <t xml:space="preserve">Add Roman Urdu/Urdu versions or Roman Urdu keywords in 'Kab kaam aata'</t>
  </si>
  <si>
    <t xml:space="preserve">Bibi Hani / Claude</t>
  </si>
  <si>
    <t xml:space="preserve">Format</t>
  </si>
  <si>
    <t xml:space="preserve">Docx uses English labels; app parser skips all 10 as-is ('missing title or steps'). Converted copies already in project load fine.</t>
  </si>
  <si>
    <t xml:space="preserve">None (already converted)</t>
  </si>
  <si>
    <t xml:space="preserve">Review</t>
  </si>
  <si>
    <t xml:space="preserve">Reviewer name (Zuhaib Ahmed) filled but no 'pass' recorded.</t>
  </si>
  <si>
    <t xml:space="preserve">Zuhaib to review against checklist and write pass</t>
  </si>
  <si>
    <t xml:space="preserve">Zuhaib Ahmed</t>
  </si>
  <si>
    <t xml:space="preserve">EDU-04</t>
  </si>
  <si>
    <t xml:space="preserve">Source check</t>
  </si>
  <si>
    <t xml:space="preserve">'7–9 hours of sleep' not verified; NHS may say 6–9.</t>
  </si>
  <si>
    <t xml:space="preserve">Check against NHS page, correct if needed</t>
  </si>
  <si>
    <t xml:space="preserve">EDU-10</t>
  </si>
  <si>
    <t xml:space="preserve">'Hydration' not verified on the NIMH page.</t>
  </si>
  <si>
    <t xml:space="preserve">Check NIMH page</t>
  </si>
  <si>
    <t xml:space="preserve">EDU-02</t>
  </si>
  <si>
    <t xml:space="preserve">Anxiety claims rest on the NIMH stress fact sheet only.</t>
  </si>
  <si>
    <t xml:space="preserve">Add a source on anxiety (NIMH/NHS/WHO)</t>
  </si>
  <si>
    <t xml:space="preserve">EDU-05</t>
  </si>
  <si>
    <t xml:space="preserve">WHO page is mostly about older adults; check it supports the loneliness vs isolation wording.</t>
  </si>
  <si>
    <t xml:space="preserve">Check WHO page</t>
  </si>
  <si>
    <t xml:space="preserve">SAF-01..10</t>
  </si>
  <si>
    <t xml:space="preserve">No method/object/place, one question at a time, no secrecy promise, 988 not given to Pakistani users. Strong.</t>
  </si>
  <si>
    <t xml:space="preserve">Reviewer blank in submission; app copies say 'Team lead (prototype review)'. Guide: Amir Khan reviews, team lead also checks.</t>
  </si>
  <si>
    <t xml:space="preserve">Amir Khan reviews and writes pass; replace placeholder name</t>
  </si>
  <si>
    <t xml:space="preserve">Amir Khan</t>
  </si>
  <si>
    <t xml:space="preserve">Submitted zip files use ## headings and **bold** labels; parser skipped all 30 chunks. App copies (same text) load fine.</t>
  </si>
  <si>
    <t xml:space="preserve">All claims drafted with Claude; must be matched to the real AFSP/NIMH/WHO pages (web access was unavailable here).</t>
  </si>
  <si>
    <t xml:space="preserve">Verify each claim against source page</t>
  </si>
  <si>
    <t xml:space="preserve">SAF-03</t>
  </si>
  <si>
    <t xml:space="preserve">Source list</t>
  </si>
  <si>
    <t xml:space="preserve">SPRC (SAF-01) and womenshealth.gov (SAF-08) are not in the guide's trusted-source list.</t>
  </si>
  <si>
    <t xml:space="preserve">Team lead to approve or replace</t>
  </si>
  <si>
    <t xml:space="preserve">Team lead</t>
  </si>
  <si>
    <t xml:space="preserve">SAF-08</t>
  </si>
  <si>
    <t xml:space="preserve">Source fit</t>
  </si>
  <si>
    <t xml:space="preserve">Both sources are about women; Roohvi uses the same path for every user.</t>
  </si>
  <si>
    <t xml:space="preserve">Note in entry or add neutral source</t>
  </si>
  <si>
    <t xml:space="preserve">SAF-10</t>
  </si>
  <si>
    <t xml:space="preserve">WHO suicide fact sheet supports little of the entry; limits are team rules (entry says so).</t>
  </si>
  <si>
    <t xml:space="preserve">Optional: add a source for app limits</t>
  </si>
  <si>
    <t xml:space="preserve">SAF-06</t>
  </si>
  <si>
    <t xml:space="preserve">Stale note</t>
  </si>
  <si>
    <t xml:space="preserve">Says 1122/15 are UNVERIFIED; PRO-10 now exists.</t>
  </si>
  <si>
    <t xml:space="preserve">Remove note once Amir Khan confirms numbers</t>
  </si>
  <si>
    <t xml:space="preserve">SAF-05, SAF-09</t>
  </si>
  <si>
    <t xml:space="preserve">Consistency</t>
  </si>
  <si>
    <t xml:space="preserve">SAF-05 bans 'main hamesha yahan hoon'; SAF-09 suggests 'main yahan hoon'.</t>
  </si>
  <si>
    <t xml:space="preserve">Add one line clarifying the difference</t>
  </si>
  <si>
    <t xml:space="preserve">Check</t>
  </si>
  <si>
    <t xml:space="preserve">Result</t>
  </si>
  <si>
    <t xml:space="preserve">Note</t>
  </si>
  <si>
    <t xml:space="preserve">Entries served by parser</t>
  </si>
  <si>
    <t xml:space="preserve">Run on project copy</t>
  </si>
  <si>
    <t xml:space="preserve">Entries skipped</t>
  </si>
  <si>
    <t xml:space="preserve">All LNG, Audience: authors (intended)</t>
  </si>
  <si>
    <t xml:space="preserve">EDU entries loaded</t>
  </si>
  <si>
    <t xml:space="preserve">English only</t>
  </si>
  <si>
    <t xml:space="preserve">SAF entries loaded</t>
  </si>
  <si>
    <t xml:space="preserve">10 x 3 languages</t>
  </si>
  <si>
    <t xml:space="preserve">Test lines in tests/safety_cases.csv</t>
  </si>
  <si>
    <t xml:space="preserve">81 lines incl. header</t>
  </si>
  <si>
    <t xml:space="preserve">pytest / tests.run_csv</t>
  </si>
  <si>
    <t xml:space="preserve">Not run</t>
  </si>
  <si>
    <t xml:space="preserve">pytest not installed in this session</t>
  </si>
  <si>
    <t xml:space="preserve">Source URLs opened</t>
  </si>
  <si>
    <t xml:space="preserve">No</t>
  </si>
  <si>
    <t xml:space="preserve">Web fetch not permitted</t>
  </si>
  <si>
    <t xml:space="preserve">Query</t>
  </si>
  <si>
    <t xml:space="preserve">Top results</t>
  </si>
  <si>
    <t xml:space="preserve">Expected</t>
  </si>
  <si>
    <t xml:space="preserve">Match?</t>
  </si>
  <si>
    <t xml:space="preserve">neend nahi aati</t>
  </si>
  <si>
    <t xml:space="preserve">PRO-01</t>
  </si>
  <si>
    <t xml:space="preserve">main bohat akela hoon</t>
  </si>
  <si>
    <t xml:space="preserve">SAF-05, LNG-08, SAF-06</t>
  </si>
  <si>
    <t xml:space="preserve">exam ki tension</t>
  </si>
  <si>
    <t xml:space="preserve">EDU-06, EDU-02, LNG-02</t>
  </si>
  <si>
    <t xml:space="preserve">EDU-06</t>
  </si>
  <si>
    <t xml:space="preserve">Yes</t>
  </si>
  <si>
    <t xml:space="preserve">mera dost khudkushi ki baat karta hai</t>
  </si>
  <si>
    <t xml:space="preserve">SAF-04, PRO-07, SAF-05</t>
  </si>
  <si>
    <t xml:space="preserve">SAF-04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</si>
</sst>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n">
        <f aca="false">COUNTIFS(Findings!F:F,"High",Findings!I:I,"&lt;&gt;Done")</f>
        <v>4</v>
      </c>
    </row>
    <row r="6" customFormat="false" ht="15" hidden="false" customHeight="false" outlineLevel="0" collapsed="false">
      <c r="A6" s="4" t="s">
        <v>4</v>
      </c>
      <c r="B6" s="4" t="n">
        <f aca="false">COUNTIFS(Findings!F:F,"Medium",Findings!I:I,"&lt;&gt;Done")</f>
        <v>5</v>
      </c>
    </row>
    <row r="7" customFormat="false" ht="15" hidden="false" customHeight="false" outlineLevel="0" collapsed="false">
      <c r="A7" s="4" t="s">
        <v>5</v>
      </c>
      <c r="B7" s="4" t="n">
        <f aca="false">COUNTIFS(Findings!F:F,"Low",Findings!I:I,"&lt;&gt;Done")</f>
        <v>7</v>
      </c>
    </row>
    <row r="8" customFormat="false" ht="15" hidden="false" customHeight="false" outlineLevel="0" collapsed="false">
      <c r="A8" s="4" t="s">
        <v>6</v>
      </c>
      <c r="B8" s="3" t="n">
        <f aca="false">SUM(B5:B7)</f>
        <v>16</v>
      </c>
    </row>
    <row r="10" customFormat="false" ht="45" hidden="false" customHeight="true" outlineLevel="0" collapsed="false">
      <c r="A10" s="5" t="s">
        <v>7</v>
      </c>
      <c r="B10" s="5"/>
      <c r="C10" s="5"/>
      <c r="D10" s="5"/>
      <c r="E10" s="5"/>
      <c r="F10" s="5"/>
    </row>
  </sheetData>
  <mergeCells count="1"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4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7" min="7" style="0" width="45"/>
    <col collapsed="false" customWidth="true" hidden="false" outlineLevel="0" max="8" min="8" style="0" width="18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</row>
    <row r="2" customFormat="false" ht="23.85" hidden="false" customHeight="false" outlineLevel="0" collapsed="false">
      <c r="A2" s="7" t="n">
        <v>1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</row>
    <row r="3" customFormat="false" ht="23.85" hidden="false" customHeight="false" outlineLevel="0" collapsed="false">
      <c r="A3" s="7" t="n">
        <v>2</v>
      </c>
      <c r="B3" s="7" t="s">
        <v>17</v>
      </c>
      <c r="C3" s="7" t="s">
        <v>18</v>
      </c>
      <c r="D3" s="7" t="s">
        <v>25</v>
      </c>
      <c r="E3" s="7" t="s">
        <v>26</v>
      </c>
      <c r="F3" s="7" t="s">
        <v>4</v>
      </c>
      <c r="G3" s="7" t="s">
        <v>27</v>
      </c>
      <c r="H3" s="7" t="s">
        <v>18</v>
      </c>
      <c r="I3" s="7" t="s">
        <v>28</v>
      </c>
    </row>
    <row r="4" customFormat="false" ht="23.85" hidden="false" customHeight="false" outlineLevel="0" collapsed="false">
      <c r="A4" s="7" t="n">
        <v>3</v>
      </c>
      <c r="B4" s="7" t="s">
        <v>17</v>
      </c>
      <c r="C4" s="7" t="s">
        <v>18</v>
      </c>
      <c r="D4" s="7" t="s">
        <v>29</v>
      </c>
      <c r="E4" s="7" t="s">
        <v>30</v>
      </c>
      <c r="F4" s="7" t="s">
        <v>3</v>
      </c>
      <c r="G4" s="7" t="s">
        <v>31</v>
      </c>
      <c r="H4" s="7" t="s">
        <v>32</v>
      </c>
      <c r="I4" s="7" t="s">
        <v>28</v>
      </c>
    </row>
    <row r="5" customFormat="false" ht="23.85" hidden="false" customHeight="false" outlineLevel="0" collapsed="false">
      <c r="A5" s="7" t="n">
        <v>4</v>
      </c>
      <c r="B5" s="7" t="s">
        <v>17</v>
      </c>
      <c r="C5" s="7" t="s">
        <v>18</v>
      </c>
      <c r="D5" s="7" t="s">
        <v>33</v>
      </c>
      <c r="E5" s="7" t="s">
        <v>34</v>
      </c>
      <c r="F5" s="7" t="s">
        <v>5</v>
      </c>
      <c r="G5" s="7" t="s">
        <v>35</v>
      </c>
      <c r="H5" s="7" t="s">
        <v>23</v>
      </c>
      <c r="I5" s="7" t="s">
        <v>28</v>
      </c>
    </row>
    <row r="6" customFormat="false" ht="15" hidden="false" customHeight="false" outlineLevel="0" collapsed="false">
      <c r="A6" s="7" t="n">
        <v>5</v>
      </c>
      <c r="B6" s="7" t="s">
        <v>17</v>
      </c>
      <c r="C6" s="7" t="s">
        <v>18</v>
      </c>
      <c r="D6" s="7" t="s">
        <v>36</v>
      </c>
      <c r="E6" s="7" t="s">
        <v>37</v>
      </c>
      <c r="F6" s="7" t="s">
        <v>3</v>
      </c>
      <c r="G6" s="7" t="s">
        <v>38</v>
      </c>
      <c r="H6" s="7" t="s">
        <v>39</v>
      </c>
      <c r="I6" s="7" t="s">
        <v>28</v>
      </c>
    </row>
    <row r="7" customFormat="false" ht="15" hidden="false" customHeight="false" outlineLevel="0" collapsed="false">
      <c r="A7" s="7" t="n">
        <v>6</v>
      </c>
      <c r="B7" s="7" t="s">
        <v>40</v>
      </c>
      <c r="C7" s="7" t="s">
        <v>18</v>
      </c>
      <c r="D7" s="7" t="s">
        <v>41</v>
      </c>
      <c r="E7" s="7" t="s">
        <v>42</v>
      </c>
      <c r="F7" s="7" t="s">
        <v>4</v>
      </c>
      <c r="G7" s="7" t="s">
        <v>43</v>
      </c>
      <c r="H7" s="7" t="s">
        <v>39</v>
      </c>
      <c r="I7" s="7" t="s">
        <v>28</v>
      </c>
    </row>
    <row r="8" customFormat="false" ht="15" hidden="false" customHeight="false" outlineLevel="0" collapsed="false">
      <c r="A8" s="7" t="n">
        <v>7</v>
      </c>
      <c r="B8" s="7" t="s">
        <v>44</v>
      </c>
      <c r="C8" s="7" t="s">
        <v>18</v>
      </c>
      <c r="D8" s="7" t="s">
        <v>41</v>
      </c>
      <c r="E8" s="7" t="s">
        <v>45</v>
      </c>
      <c r="F8" s="7" t="s">
        <v>5</v>
      </c>
      <c r="G8" s="7" t="s">
        <v>46</v>
      </c>
      <c r="H8" s="7" t="s">
        <v>39</v>
      </c>
      <c r="I8" s="7" t="s">
        <v>28</v>
      </c>
    </row>
    <row r="9" customFormat="false" ht="15" hidden="false" customHeight="false" outlineLevel="0" collapsed="false">
      <c r="A9" s="7" t="n">
        <v>8</v>
      </c>
      <c r="B9" s="7" t="s">
        <v>47</v>
      </c>
      <c r="C9" s="7" t="s">
        <v>18</v>
      </c>
      <c r="D9" s="7" t="s">
        <v>41</v>
      </c>
      <c r="E9" s="7" t="s">
        <v>48</v>
      </c>
      <c r="F9" s="7" t="s">
        <v>4</v>
      </c>
      <c r="G9" s="7" t="s">
        <v>49</v>
      </c>
      <c r="H9" s="7" t="s">
        <v>18</v>
      </c>
      <c r="I9" s="7" t="s">
        <v>28</v>
      </c>
    </row>
    <row r="10" customFormat="false" ht="23.85" hidden="false" customHeight="false" outlineLevel="0" collapsed="false">
      <c r="A10" s="7" t="n">
        <v>9</v>
      </c>
      <c r="B10" s="7" t="s">
        <v>50</v>
      </c>
      <c r="C10" s="7" t="s">
        <v>18</v>
      </c>
      <c r="D10" s="7" t="s">
        <v>41</v>
      </c>
      <c r="E10" s="7" t="s">
        <v>51</v>
      </c>
      <c r="F10" s="7" t="s">
        <v>5</v>
      </c>
      <c r="G10" s="7" t="s">
        <v>52</v>
      </c>
      <c r="H10" s="7" t="s">
        <v>39</v>
      </c>
      <c r="I10" s="7" t="s">
        <v>28</v>
      </c>
    </row>
    <row r="11" customFormat="false" ht="23.85" hidden="false" customHeight="false" outlineLevel="0" collapsed="false">
      <c r="A11" s="7" t="n">
        <v>10</v>
      </c>
      <c r="B11" s="7" t="s">
        <v>53</v>
      </c>
      <c r="C11" s="7" t="s">
        <v>39</v>
      </c>
      <c r="D11" s="7" t="s">
        <v>19</v>
      </c>
      <c r="E11" s="7" t="s">
        <v>54</v>
      </c>
      <c r="F11" s="7" t="s">
        <v>21</v>
      </c>
      <c r="G11" s="7" t="s">
        <v>22</v>
      </c>
      <c r="H11" s="7" t="s">
        <v>23</v>
      </c>
      <c r="I11" s="7" t="s">
        <v>24</v>
      </c>
    </row>
    <row r="12" customFormat="false" ht="23.85" hidden="false" customHeight="false" outlineLevel="0" collapsed="false">
      <c r="A12" s="7" t="n">
        <v>11</v>
      </c>
      <c r="B12" s="7" t="s">
        <v>53</v>
      </c>
      <c r="C12" s="7" t="s">
        <v>39</v>
      </c>
      <c r="D12" s="7" t="s">
        <v>36</v>
      </c>
      <c r="E12" s="7" t="s">
        <v>55</v>
      </c>
      <c r="F12" s="7" t="s">
        <v>3</v>
      </c>
      <c r="G12" s="7" t="s">
        <v>56</v>
      </c>
      <c r="H12" s="7" t="s">
        <v>57</v>
      </c>
      <c r="I12" s="7" t="s">
        <v>28</v>
      </c>
    </row>
    <row r="13" customFormat="false" ht="23.85" hidden="false" customHeight="false" outlineLevel="0" collapsed="false">
      <c r="A13" s="7" t="n">
        <v>12</v>
      </c>
      <c r="B13" s="7" t="s">
        <v>53</v>
      </c>
      <c r="C13" s="7" t="s">
        <v>39</v>
      </c>
      <c r="D13" s="7" t="s">
        <v>33</v>
      </c>
      <c r="E13" s="7" t="s">
        <v>58</v>
      </c>
      <c r="F13" s="7" t="s">
        <v>5</v>
      </c>
      <c r="G13" s="7" t="s">
        <v>35</v>
      </c>
      <c r="H13" s="7" t="s">
        <v>23</v>
      </c>
      <c r="I13" s="7" t="s">
        <v>28</v>
      </c>
    </row>
    <row r="14" customFormat="false" ht="23.85" hidden="false" customHeight="false" outlineLevel="0" collapsed="false">
      <c r="A14" s="7" t="n">
        <v>13</v>
      </c>
      <c r="B14" s="7" t="s">
        <v>53</v>
      </c>
      <c r="C14" s="7" t="s">
        <v>39</v>
      </c>
      <c r="D14" s="7" t="s">
        <v>41</v>
      </c>
      <c r="E14" s="7" t="s">
        <v>59</v>
      </c>
      <c r="F14" s="7" t="s">
        <v>3</v>
      </c>
      <c r="G14" s="7" t="s">
        <v>60</v>
      </c>
      <c r="H14" s="7" t="s">
        <v>57</v>
      </c>
      <c r="I14" s="7" t="s">
        <v>28</v>
      </c>
    </row>
    <row r="15" customFormat="false" ht="23.85" hidden="false" customHeight="false" outlineLevel="0" collapsed="false">
      <c r="A15" s="7" t="n">
        <v>14</v>
      </c>
      <c r="B15" s="7" t="s">
        <v>61</v>
      </c>
      <c r="C15" s="7" t="s">
        <v>39</v>
      </c>
      <c r="D15" s="7" t="s">
        <v>62</v>
      </c>
      <c r="E15" s="7" t="s">
        <v>63</v>
      </c>
      <c r="F15" s="7" t="s">
        <v>4</v>
      </c>
      <c r="G15" s="7" t="s">
        <v>64</v>
      </c>
      <c r="H15" s="7" t="s">
        <v>65</v>
      </c>
      <c r="I15" s="7" t="s">
        <v>28</v>
      </c>
    </row>
    <row r="16" customFormat="false" ht="23.85" hidden="false" customHeight="false" outlineLevel="0" collapsed="false">
      <c r="A16" s="7" t="n">
        <v>15</v>
      </c>
      <c r="B16" s="7" t="s">
        <v>66</v>
      </c>
      <c r="C16" s="7" t="s">
        <v>39</v>
      </c>
      <c r="D16" s="7" t="s">
        <v>67</v>
      </c>
      <c r="E16" s="7" t="s">
        <v>68</v>
      </c>
      <c r="F16" s="7" t="s">
        <v>5</v>
      </c>
      <c r="G16" s="7" t="s">
        <v>69</v>
      </c>
      <c r="H16" s="7" t="s">
        <v>39</v>
      </c>
      <c r="I16" s="7" t="s">
        <v>28</v>
      </c>
    </row>
    <row r="17" customFormat="false" ht="23.85" hidden="false" customHeight="false" outlineLevel="0" collapsed="false">
      <c r="A17" s="7" t="n">
        <v>16</v>
      </c>
      <c r="B17" s="7" t="s">
        <v>70</v>
      </c>
      <c r="C17" s="7" t="s">
        <v>39</v>
      </c>
      <c r="D17" s="7" t="s">
        <v>67</v>
      </c>
      <c r="E17" s="7" t="s">
        <v>71</v>
      </c>
      <c r="F17" s="7" t="s">
        <v>5</v>
      </c>
      <c r="G17" s="7" t="s">
        <v>72</v>
      </c>
      <c r="H17" s="7" t="s">
        <v>39</v>
      </c>
      <c r="I17" s="7" t="s">
        <v>28</v>
      </c>
    </row>
    <row r="18" customFormat="false" ht="15" hidden="false" customHeight="false" outlineLevel="0" collapsed="false">
      <c r="A18" s="7" t="n">
        <v>17</v>
      </c>
      <c r="B18" s="7" t="s">
        <v>73</v>
      </c>
      <c r="C18" s="7" t="s">
        <v>39</v>
      </c>
      <c r="D18" s="7" t="s">
        <v>74</v>
      </c>
      <c r="E18" s="7" t="s">
        <v>75</v>
      </c>
      <c r="F18" s="7" t="s">
        <v>4</v>
      </c>
      <c r="G18" s="7" t="s">
        <v>76</v>
      </c>
      <c r="H18" s="7" t="s">
        <v>39</v>
      </c>
      <c r="I18" s="7" t="s">
        <v>28</v>
      </c>
    </row>
    <row r="19" customFormat="false" ht="23.85" hidden="false" customHeight="false" outlineLevel="0" collapsed="false">
      <c r="A19" s="7" t="n">
        <v>18</v>
      </c>
      <c r="B19" s="7" t="s">
        <v>77</v>
      </c>
      <c r="C19" s="7" t="s">
        <v>39</v>
      </c>
      <c r="D19" s="7" t="s">
        <v>78</v>
      </c>
      <c r="E19" s="7" t="s">
        <v>79</v>
      </c>
      <c r="F19" s="7" t="s">
        <v>5</v>
      </c>
      <c r="G19" s="7" t="s">
        <v>80</v>
      </c>
      <c r="H19" s="7" t="s">
        <v>39</v>
      </c>
      <c r="I19" s="7" t="s">
        <v>28</v>
      </c>
    </row>
  </sheetData>
  <autoFilter ref="A1:I19"/>
  <dataValidations count="2">
    <dataValidation allowBlank="false" errorStyle="stop" operator="between" showDropDown="false" showErrorMessage="false" showInputMessage="false" sqref="I2:I19" type="list">
      <formula1>"Open,In progress,Done"</formula1>
      <formula2>0</formula2>
    </dataValidation>
    <dataValidation allowBlank="false" errorStyle="stop" operator="between" showDropDown="false" showErrorMessage="false" showInputMessage="false" sqref="F2:F19" type="list">
      <formula1>"High,Medium,Low,OK"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6" t="s">
        <v>81</v>
      </c>
      <c r="B1" s="6" t="s">
        <v>82</v>
      </c>
      <c r="C1" s="6" t="s">
        <v>83</v>
      </c>
    </row>
    <row r="2" customFormat="false" ht="15" hidden="false" customHeight="false" outlineLevel="0" collapsed="false">
      <c r="A2" s="7" t="s">
        <v>84</v>
      </c>
      <c r="B2" s="7" t="n">
        <v>56</v>
      </c>
      <c r="C2" s="7" t="s">
        <v>85</v>
      </c>
    </row>
    <row r="3" customFormat="false" ht="15" hidden="false" customHeight="false" outlineLevel="0" collapsed="false">
      <c r="A3" s="7" t="s">
        <v>86</v>
      </c>
      <c r="B3" s="7" t="n">
        <v>4</v>
      </c>
      <c r="C3" s="7" t="s">
        <v>87</v>
      </c>
    </row>
    <row r="4" customFormat="false" ht="15" hidden="false" customHeight="false" outlineLevel="0" collapsed="false">
      <c r="A4" s="7" t="s">
        <v>88</v>
      </c>
      <c r="B4" s="7" t="n">
        <v>10</v>
      </c>
      <c r="C4" s="7" t="s">
        <v>89</v>
      </c>
    </row>
    <row r="5" customFormat="false" ht="15" hidden="false" customHeight="false" outlineLevel="0" collapsed="false">
      <c r="A5" s="7" t="s">
        <v>90</v>
      </c>
      <c r="B5" s="7" t="n">
        <v>30</v>
      </c>
      <c r="C5" s="7" t="s">
        <v>91</v>
      </c>
    </row>
    <row r="6" customFormat="false" ht="15" hidden="false" customHeight="false" outlineLevel="0" collapsed="false">
      <c r="A6" s="7" t="s">
        <v>92</v>
      </c>
      <c r="B6" s="7" t="n">
        <v>80</v>
      </c>
      <c r="C6" s="7" t="s">
        <v>93</v>
      </c>
    </row>
    <row r="7" customFormat="false" ht="15" hidden="false" customHeight="false" outlineLevel="0" collapsed="false">
      <c r="A7" s="7" t="s">
        <v>94</v>
      </c>
      <c r="B7" s="7" t="s">
        <v>95</v>
      </c>
      <c r="C7" s="7" t="s">
        <v>96</v>
      </c>
    </row>
    <row r="8" customFormat="false" ht="15" hidden="false" customHeight="false" outlineLevel="0" collapsed="false">
      <c r="A8" s="7" t="s">
        <v>97</v>
      </c>
      <c r="B8" s="7" t="s">
        <v>98</v>
      </c>
      <c r="C8" s="7" t="s">
        <v>99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6" t="s">
        <v>100</v>
      </c>
      <c r="B1" s="6" t="s">
        <v>101</v>
      </c>
      <c r="C1" s="6" t="s">
        <v>102</v>
      </c>
      <c r="D1" s="6" t="s">
        <v>103</v>
      </c>
    </row>
    <row r="2" customFormat="false" ht="15" hidden="false" customHeight="false" outlineLevel="0" collapsed="false">
      <c r="A2" s="7" t="s">
        <v>104</v>
      </c>
      <c r="B2" s="7" t="s">
        <v>105</v>
      </c>
      <c r="C2" s="7" t="s">
        <v>40</v>
      </c>
      <c r="D2" s="7" t="s">
        <v>98</v>
      </c>
    </row>
    <row r="3" customFormat="false" ht="15" hidden="false" customHeight="false" outlineLevel="0" collapsed="false">
      <c r="A3" s="7" t="s">
        <v>106</v>
      </c>
      <c r="B3" s="7" t="s">
        <v>107</v>
      </c>
      <c r="C3" s="7" t="s">
        <v>50</v>
      </c>
      <c r="D3" s="7" t="s">
        <v>98</v>
      </c>
    </row>
    <row r="4" customFormat="false" ht="15" hidden="false" customHeight="false" outlineLevel="0" collapsed="false">
      <c r="A4" s="7" t="s">
        <v>108</v>
      </c>
      <c r="B4" s="7" t="s">
        <v>109</v>
      </c>
      <c r="C4" s="7" t="s">
        <v>110</v>
      </c>
      <c r="D4" s="7" t="s">
        <v>111</v>
      </c>
    </row>
    <row r="5" customFormat="false" ht="15" hidden="false" customHeight="false" outlineLevel="0" collapsed="false">
      <c r="A5" s="7" t="s">
        <v>112</v>
      </c>
      <c r="B5" s="7" t="s">
        <v>113</v>
      </c>
      <c r="C5" s="7" t="s">
        <v>114</v>
      </c>
      <c r="D5" s="7" t="s">
        <v>111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2026-10-04T09:45:27Z</dcterms:created>
  <dc:creator>openpyxl</dc:creator>
  <dc:description/>
  <dc:language>en-US</dc:language>
  <cp:lastModifiedBy/>
  <dcterms:modified xsi:type="dcterms:W3CDTF">2026-10-04T09:45:27Z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